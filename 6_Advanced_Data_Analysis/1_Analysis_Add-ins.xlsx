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6_Advanced_Data_Analysis\"/>
    </mc:Choice>
  </mc:AlternateContent>
  <xr:revisionPtr revIDLastSave="0" documentId="13_ncr:1_{7C37A7B8-F76C-4572-B046-51BBAB15E2C8}" xr6:coauthVersionLast="47" xr6:coauthVersionMax="47" xr10:uidLastSave="{00000000-0000-0000-0000-000000000000}"/>
  <bookViews>
    <workbookView xWindow="0" yWindow="0" windowWidth="14400" windowHeight="15600" firstSheet="4" activeTab="6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8" r:id="rId4"/>
    <sheet name="Answer Report 1" sheetId="28" r:id="rId5"/>
    <sheet name="Sensitivity Report 1" sheetId="29" r:id="rId6"/>
    <sheet name="Limits Report 1" sheetId="30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25</definedName>
    <definedName name="solver_rhs2" localSheetId="7" hidden="1">4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3" l="1"/>
  <c r="C367" i="16"/>
  <c r="C373" i="16"/>
  <c r="C379" i="16"/>
  <c r="C385" i="16"/>
  <c r="C391" i="16"/>
  <c r="C397" i="16"/>
  <c r="C403" i="16"/>
  <c r="C409" i="16"/>
  <c r="C415" i="16"/>
  <c r="C421" i="16"/>
  <c r="C427" i="16"/>
  <c r="C381" i="16"/>
  <c r="C411" i="16"/>
  <c r="C423" i="16"/>
  <c r="C376" i="16"/>
  <c r="C418" i="16"/>
  <c r="C377" i="16"/>
  <c r="C401" i="16"/>
  <c r="C413" i="16"/>
  <c r="C425" i="16"/>
  <c r="C378" i="16"/>
  <c r="C390" i="16"/>
  <c r="C402" i="16"/>
  <c r="C420" i="16"/>
  <c r="C368" i="16"/>
  <c r="C374" i="16"/>
  <c r="C380" i="16"/>
  <c r="C386" i="16"/>
  <c r="C392" i="16"/>
  <c r="C398" i="16"/>
  <c r="C404" i="16"/>
  <c r="C410" i="16"/>
  <c r="C416" i="16"/>
  <c r="C422" i="16"/>
  <c r="C428" i="16"/>
  <c r="C375" i="16"/>
  <c r="C387" i="16"/>
  <c r="C393" i="16"/>
  <c r="C399" i="16"/>
  <c r="C405" i="16"/>
  <c r="C417" i="16"/>
  <c r="C429" i="16"/>
  <c r="C382" i="16"/>
  <c r="C388" i="16"/>
  <c r="C394" i="16"/>
  <c r="C400" i="16"/>
  <c r="C406" i="16"/>
  <c r="C412" i="16"/>
  <c r="C424" i="16"/>
  <c r="C383" i="16"/>
  <c r="C389" i="16"/>
  <c r="C395" i="16"/>
  <c r="C407" i="16"/>
  <c r="C419" i="16"/>
  <c r="C372" i="16"/>
  <c r="C384" i="16"/>
  <c r="C396" i="16"/>
  <c r="C408" i="16"/>
  <c r="C414" i="16"/>
  <c r="C426" i="16"/>
  <c r="C369" i="16"/>
  <c r="C370" i="16"/>
  <c r="C371" i="16"/>
  <c r="E371" i="16" l="1"/>
  <c r="D426" i="16"/>
  <c r="D396" i="16"/>
  <c r="E419" i="16"/>
  <c r="E389" i="16"/>
  <c r="D412" i="16"/>
  <c r="D394" i="16"/>
  <c r="E429" i="16"/>
  <c r="E399" i="16"/>
  <c r="E375" i="16"/>
  <c r="E416" i="16"/>
  <c r="E398" i="16"/>
  <c r="D380" i="16"/>
  <c r="D420" i="16"/>
  <c r="D378" i="16"/>
  <c r="E401" i="16"/>
  <c r="D376" i="16"/>
  <c r="E381" i="16"/>
  <c r="E415" i="16"/>
  <c r="E397" i="16"/>
  <c r="E379" i="16"/>
  <c r="E377" i="16"/>
  <c r="E391" i="16"/>
  <c r="D423" i="16"/>
  <c r="D391" i="16"/>
  <c r="D408" i="16"/>
  <c r="D400" i="16"/>
  <c r="D422" i="16"/>
  <c r="D390" i="16"/>
  <c r="E421" i="16"/>
  <c r="D371" i="16"/>
  <c r="E426" i="16"/>
  <c r="E396" i="16"/>
  <c r="D419" i="16"/>
  <c r="D389" i="16"/>
  <c r="E412" i="16"/>
  <c r="E394" i="16"/>
  <c r="D429" i="16"/>
  <c r="D399" i="16"/>
  <c r="D375" i="16"/>
  <c r="D416" i="16"/>
  <c r="D398" i="16"/>
  <c r="E380" i="16"/>
  <c r="E420" i="16"/>
  <c r="E378" i="16"/>
  <c r="D401" i="16"/>
  <c r="E376" i="16"/>
  <c r="D381" i="16"/>
  <c r="D415" i="16"/>
  <c r="D397" i="16"/>
  <c r="D379" i="16"/>
  <c r="E423" i="16"/>
  <c r="E409" i="16"/>
  <c r="D377" i="16"/>
  <c r="D373" i="16"/>
  <c r="D395" i="16"/>
  <c r="D424" i="16"/>
  <c r="E387" i="16"/>
  <c r="E386" i="16"/>
  <c r="D418" i="16"/>
  <c r="E385" i="16"/>
  <c r="D370" i="16"/>
  <c r="D414" i="16"/>
  <c r="D384" i="16"/>
  <c r="E407" i="16"/>
  <c r="D383" i="16"/>
  <c r="D406" i="16"/>
  <c r="D388" i="16"/>
  <c r="E417" i="16"/>
  <c r="E393" i="16"/>
  <c r="E428" i="16"/>
  <c r="E410" i="16"/>
  <c r="E392" i="16"/>
  <c r="E374" i="16"/>
  <c r="D402" i="16"/>
  <c r="D425" i="16"/>
  <c r="E427" i="16"/>
  <c r="E373" i="16"/>
  <c r="D409" i="16"/>
  <c r="E369" i="16"/>
  <c r="E405" i="16"/>
  <c r="E368" i="16"/>
  <c r="E411" i="16"/>
  <c r="E367" i="16"/>
  <c r="E370" i="16"/>
  <c r="E414" i="16"/>
  <c r="E384" i="16"/>
  <c r="D407" i="16"/>
  <c r="E383" i="16"/>
  <c r="E406" i="16"/>
  <c r="E388" i="16"/>
  <c r="D417" i="16"/>
  <c r="D393" i="16"/>
  <c r="D428" i="16"/>
  <c r="D410" i="16"/>
  <c r="D392" i="16"/>
  <c r="D374" i="16"/>
  <c r="E402" i="16"/>
  <c r="E425" i="16"/>
  <c r="D427" i="16"/>
  <c r="D372" i="16"/>
  <c r="D382" i="16"/>
  <c r="D404" i="16"/>
  <c r="D413" i="16"/>
  <c r="E403" i="16"/>
  <c r="D369" i="16"/>
  <c r="E408" i="16"/>
  <c r="E372" i="16"/>
  <c r="E395" i="16"/>
  <c r="E424" i="16"/>
  <c r="E400" i="16"/>
  <c r="E382" i="16"/>
  <c r="D405" i="16"/>
  <c r="D387" i="16"/>
  <c r="E422" i="16"/>
  <c r="E404" i="16"/>
  <c r="D386" i="16"/>
  <c r="D368" i="16"/>
  <c r="E390" i="16"/>
  <c r="E413" i="16"/>
  <c r="E418" i="16"/>
  <c r="D411" i="16"/>
  <c r="D421" i="16"/>
  <c r="D403" i="16"/>
  <c r="D385" i="16"/>
  <c r="D367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<sst xmlns="http://schemas.openxmlformats.org/spreadsheetml/2006/main" count="245" uniqueCount="93">
  <si>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</si>
  <si>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</si>
  <si>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</si>
  <si>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</si>
  <si>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</si>
  <si>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</si>
  <si>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</si>
  <si>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</si>
  <si>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</si>
  <si>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</si>
  <si>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</si>
  <si>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</si>
  <si>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</si>
  <si>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</si>
  <si>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</si>
  <si>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</si>
  <si>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</si>
  <si>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</si>
  <si>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</si>
  <si>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</si>
  <si>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</si>
  <si>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</si>
  <si>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</si>
  <si>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</si>
  <si>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</si>
  <si>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</si>
  <si>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</si>
  <si>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</si>
  <si>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</si>
  <si>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</si>
  <si>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</si>
  <si>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</si>
  <si>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</si>
  <si>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</si>
  <si>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</si>
  <si>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</si>
  <si>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</si>
  <si>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</si>
  <si>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</si>
  <si>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</si>
  <si>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</si>
  <si>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</si>
  <si>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</si>
  <si>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</si>
  <si>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</si>
  <si>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</si>
  <si>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</si>
  <si>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</si>
  <si>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</si>
  <si>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</si>
  <si>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</si>
  <si>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</si>
  <si>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</si>
  <si>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</si>
  <si>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</si>
  <si>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</si>
  <si>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</si>
  <si>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</si>
  <si>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</si>
  <si>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</si>
  <si>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</si>
  <si>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</si>
  <si>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</si>
  <si>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</si>
  <si>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</si>
  <si>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</si>
  <si>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</si>
  <si>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</si>
  <si>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</si>
  <si>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</si>
  <si>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</si>
  <si>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</si>
  <si>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</si>
  <si>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</si>
  <si>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</si>
  <si>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</si>
  <si>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</si>
  <si>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</si>
  <si>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</t>
  </si>
  <si>
    <t>Created by Alexandr Sarve on 9/7/2026</t>
  </si>
  <si>
    <t>job 2</t>
  </si>
  <si>
    <t>Created by Alexandr Sarve on 9/7/2026
Modified by Alexandr Sarve on 9/7/2026</t>
  </si>
  <si>
    <t>job 3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</si>
  <si>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</si>
  <si>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</si>
  <si>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</si>
  <si>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</si>
  <si>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</si>
  <si>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</si>
  <si>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9/7/2026 23:31:23</t>
  </si>
  <si>
    <t>Solution Time: 0.016 Seconds.</t>
  </si>
  <si>
    <t>$C$4&lt;=25</t>
  </si>
  <si>
    <t>$C$5&lt;=4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</si>
</sst>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8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  <xf numFmtId="164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543011214607057E-2"/>
          <c:y val="8.2251082251082255E-2"/>
          <c:w val="0.91808296176174753"/>
          <c:h val="0.6196165252070764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Sheet1!$B$2:$B$429</c:f>
              <c:numCache>
                <c:formatCode>General</c:formatCode>
                <c:ptCount val="428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D-453D-AB21-E1244170ADB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Sheet1!$A$2:$A$429</c:f>
              <c:numCache>
                <c:formatCode>[$-409]d\-mmm;@</c:formatCode>
                <c:ptCount val="42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</c:numCache>
            </c:numRef>
          </c:cat>
          <c:val>
            <c:numRef>
              <c:f>Sheet1!$C$2:$C$429</c:f>
              <c:numCache>
                <c:formatCode>General</c:formatCode>
                <c:ptCount val="428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D-453D-AB21-E1244170ADB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Sheet1!$A$2:$A$429</c:f>
              <c:numCache>
                <c:formatCode>[$-409]d\-mmm;@</c:formatCode>
                <c:ptCount val="42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</c:numCache>
            </c:numRef>
          </c:cat>
          <c:val>
            <c:numRef>
              <c:f>Sheet1!$D$2:$D$429</c:f>
              <c:numCache>
                <c:formatCode>General</c:formatCode>
                <c:ptCount val="428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6D-453D-AB21-E1244170ADB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Sheet1!$A$2:$A$429</c:f>
              <c:numCache>
                <c:formatCode>[$-409]d\-mmm;@</c:formatCode>
                <c:ptCount val="42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</c:numCache>
            </c:numRef>
          </c:cat>
          <c:val>
            <c:numRef>
              <c:f>Sheet1!$E$2:$E$429</c:f>
              <c:numCache>
                <c:formatCode>General</c:formatCode>
                <c:ptCount val="428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6D-453D-AB21-E1244170A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17535"/>
        <c:axId val="1812715135"/>
      </c:lineChart>
      <c:catAx>
        <c:axId val="181271753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715135"/>
        <c:crosses val="autoZero"/>
        <c:auto val="1"/>
        <c:lblAlgn val="ctr"/>
        <c:lblOffset val="100"/>
        <c:noMultiLvlLbl val="0"/>
      </c:catAx>
      <c:valAx>
        <c:axId val="181271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71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1843087</xdr:colOff>
      <xdr:row>8</xdr:row>
      <xdr:rowOff>147637</xdr:rowOff>
    </xdr:from>
    <xdr:to>
      <xdr:col>10</xdr:col>
      <xdr:colOff>119063</xdr:colOff>
      <xdr:row>24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8121C-DA1B-4949-86A2-1BA5FDA97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4E94D-3A5A-4058-A957-47F8ADEE1039}" name="Table2" displayName="Table2" ref="A1:E429" totalsRowShown="0">
  <autoFilter ref="A1:E429" xr:uid="{9234E94D-3A5A-4058-A957-47F8ADEE1039}"/>
  <tableColumns count="5">
    <tableColumn id="1" xr3:uid="{353D04FC-2ED7-4763-81D4-5C66F271125F}" name="Date" dataDxfId="2"/>
    <tableColumn id="2" xr3:uid="{8FAF2B10-F66E-4B96-BAC5-138F7A56B0CA}" name="Job Count"/>
    <tableColumn id="3" xr3:uid="{F6B111B4-74C1-40C2-8089-B702BC9D5FE4}" name="Forecast(Job Count)">
      <calculatedColumnFormula>_xlfn.FORECAST.ETS(A2,$B$2:$B$366,$A$2:$A$366,1,1)</calculatedColumnFormula>
    </tableColumn>
    <tableColumn id="4" xr3:uid="{988986DD-708F-4DCC-B937-0AB4F8B518BB}" name="Lower Confidence Bound(Job Count)" dataDxfId="1">
      <calculatedColumnFormula>C2-_xlfn.FORECAST.ETS.CONFINT(A2,$B$2:$B$366,$A$2:$A$366,0.95,1,1)</calculatedColumnFormula>
    </tableColumn>
    <tableColumn id="5" xr3:uid="{B9B2BA75-70D4-41DF-AFAE-8767F1C8A3AC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6D70-6F4D-400E-97CB-612C990C158E}">
  <dimension ref="A1:E429"/>
  <sheetViews>
    <sheetView zoomScale="80" zoomScaleNormal="80" workbookViewId="0"/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2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2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2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2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2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2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2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2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2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2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2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2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2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2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2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2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2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2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2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2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2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2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2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2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2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2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2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2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2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2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2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2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2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2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2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2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2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2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2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2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2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2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2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2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2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2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2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2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2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2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2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2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2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2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2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2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2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2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2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2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25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25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3DD8-4EC7-4714-B16C-53A248266ACA}">
  <sheetPr>
    <outlinePr summaryBelow="0"/>
  </sheetPr>
  <dimension ref="B1:G18"/>
  <sheetViews>
    <sheetView showGridLines="0" workbookViewId="0"/>
  </sheetViews>
  <sheetFormatPr defaultRowHeight="15" outlineLevelRow="1" outlineLevelCol="1" x14ac:dyDescent="0.25"/>
  <cols>
    <col min="3" max="3" width="10.8554687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78</v>
      </c>
      <c r="F3" s="28" t="s">
        <v>80</v>
      </c>
      <c r="G3" s="28" t="s">
        <v>82</v>
      </c>
    </row>
    <row r="4" spans="2:7" ht="67.5" hidden="1" outlineLevel="1" x14ac:dyDescent="0.25">
      <c r="B4" s="73"/>
      <c r="C4" s="73"/>
      <c r="D4" s="67"/>
      <c r="E4" s="77" t="s">
        <v>81</v>
      </c>
      <c r="F4" s="77" t="s">
        <v>81</v>
      </c>
      <c r="G4" s="77" t="s">
        <v>79</v>
      </c>
    </row>
    <row r="5" spans="2:7" x14ac:dyDescent="0.25">
      <c r="B5" s="25" t="s">
        <v>23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120000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0.08</v>
      </c>
    </row>
    <row r="8" spans="2:7" outlineLevel="1" x14ac:dyDescent="0.2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5.0000000000000001E-3</v>
      </c>
    </row>
    <row r="9" spans="2:7" x14ac:dyDescent="0.25">
      <c r="B9" s="25" t="s">
        <v>25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132000</v>
      </c>
      <c r="E10" s="68">
        <v>110000</v>
      </c>
      <c r="F10" s="68">
        <v>92000</v>
      </c>
      <c r="G10" s="68">
        <v>129600</v>
      </c>
    </row>
    <row r="11" spans="2:7" outlineLevel="1" x14ac:dyDescent="0.25">
      <c r="B11" s="73"/>
      <c r="C11" s="73" t="s">
        <v>36</v>
      </c>
      <c r="D11" s="68">
        <v>133980</v>
      </c>
      <c r="E11" s="68">
        <v>111650</v>
      </c>
      <c r="F11" s="68">
        <v>93104</v>
      </c>
      <c r="G11" s="68">
        <v>130248</v>
      </c>
    </row>
    <row r="12" spans="2:7" outlineLevel="1" x14ac:dyDescent="0.25">
      <c r="B12" s="73"/>
      <c r="C12" s="73" t="s">
        <v>32</v>
      </c>
      <c r="D12" s="68">
        <v>135989.70000000001</v>
      </c>
      <c r="E12" s="68">
        <v>113324.75</v>
      </c>
      <c r="F12" s="68">
        <v>94221.248000000007</v>
      </c>
      <c r="G12" s="68">
        <v>130899.24</v>
      </c>
    </row>
    <row r="13" spans="2:7" outlineLevel="1" x14ac:dyDescent="0.25">
      <c r="B13" s="73"/>
      <c r="C13" s="73" t="s">
        <v>33</v>
      </c>
      <c r="D13" s="68">
        <v>138029.54550000001</v>
      </c>
      <c r="E13" s="68">
        <v>115024.62125</v>
      </c>
      <c r="F13" s="68">
        <v>95351.902975999998</v>
      </c>
      <c r="G13" s="68">
        <v>131553.73620000001</v>
      </c>
    </row>
    <row r="14" spans="2:7" outlineLevel="1" x14ac:dyDescent="0.25">
      <c r="B14" s="73"/>
      <c r="C14" s="73" t="s">
        <v>34</v>
      </c>
      <c r="D14" s="68">
        <v>140099.9886825</v>
      </c>
      <c r="E14" s="68">
        <v>116749.99056875</v>
      </c>
      <c r="F14" s="68">
        <v>96496.125811712001</v>
      </c>
      <c r="G14" s="68">
        <v>132211.504881</v>
      </c>
    </row>
    <row r="15" spans="2:7" ht="15.75" outlineLevel="1" thickBot="1" x14ac:dyDescent="0.3">
      <c r="B15" s="26"/>
      <c r="C15" s="26" t="s">
        <v>35</v>
      </c>
      <c r="D15" s="71">
        <v>680099.23418250005</v>
      </c>
      <c r="E15" s="71">
        <v>566749.36181875004</v>
      </c>
      <c r="F15" s="71">
        <v>471173.27678771201</v>
      </c>
      <c r="G15" s="71">
        <v>654512.48108099995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7DCA-7A9D-4B5D-B5B4-818BBC04E68D}">
  <dimension ref="A1:G29"/>
  <sheetViews>
    <sheetView showGridLines="0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11.28515625" bestFit="1" customWidth="1"/>
    <col min="7" max="7" width="12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90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639999.98860000004</v>
      </c>
      <c r="E16" s="81">
        <v>639999.98860000004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0.23243594693731279</v>
      </c>
      <c r="E21" s="82">
        <v>0.23243594693731279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1.8934820904050513E-2</v>
      </c>
      <c r="E22" s="83">
        <v>1.8934820904050513E-2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25">
      <c r="B27" s="80" t="s">
        <v>29</v>
      </c>
      <c r="C27" s="80" t="s">
        <v>35</v>
      </c>
      <c r="D27" s="87">
        <v>639999.99</v>
      </c>
      <c r="E27" s="80" t="s">
        <v>63</v>
      </c>
      <c r="F27" s="80" t="s">
        <v>64</v>
      </c>
      <c r="G27" s="80">
        <v>0</v>
      </c>
    </row>
    <row r="28" spans="1:7" x14ac:dyDescent="0.25">
      <c r="B28" s="80" t="s">
        <v>60</v>
      </c>
      <c r="C28" s="80" t="s">
        <v>15</v>
      </c>
      <c r="D28" s="82">
        <v>0.23243594693731279</v>
      </c>
      <c r="E28" s="80" t="s">
        <v>91</v>
      </c>
      <c r="F28" s="80" t="s">
        <v>66</v>
      </c>
      <c r="G28" s="80">
        <v>24.767564053062689</v>
      </c>
    </row>
    <row r="29" spans="1:7" ht="15.75" thickBot="1" x14ac:dyDescent="0.3">
      <c r="B29" s="78" t="s">
        <v>62</v>
      </c>
      <c r="C29" s="78" t="s">
        <v>16</v>
      </c>
      <c r="D29" s="83">
        <v>1.8934820904050513E-2</v>
      </c>
      <c r="E29" s="78" t="s">
        <v>92</v>
      </c>
      <c r="F29" s="78" t="s">
        <v>66</v>
      </c>
      <c r="G29" s="78">
        <v>3.9810651790959497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7276-EDA0-4CF9-8C8D-B9B7D5D8607E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2" bestFit="1" customWidth="1"/>
    <col min="5" max="5" width="9.7109375" bestFit="1" customWidth="1"/>
  </cols>
  <sheetData>
    <row r="1" spans="1:5" x14ac:dyDescent="0.25">
      <c r="A1" s="7" t="s">
        <v>83</v>
      </c>
    </row>
    <row r="2" spans="1:5" x14ac:dyDescent="0.25">
      <c r="A2" s="7" t="s">
        <v>38</v>
      </c>
    </row>
    <row r="3" spans="1:5" x14ac:dyDescent="0.25">
      <c r="A3" s="7" t="s">
        <v>89</v>
      </c>
    </row>
    <row r="6" spans="1:5" ht="15.75" thickBot="1" x14ac:dyDescent="0.3">
      <c r="A6" t="s">
        <v>54</v>
      </c>
    </row>
    <row r="7" spans="1:5" x14ac:dyDescent="0.25">
      <c r="B7" s="84"/>
      <c r="C7" s="84"/>
      <c r="D7" s="84" t="s">
        <v>84</v>
      </c>
      <c r="E7" s="84" t="s">
        <v>85</v>
      </c>
    </row>
    <row r="8" spans="1:5" ht="15.75" thickBot="1" x14ac:dyDescent="0.3">
      <c r="B8" s="85" t="s">
        <v>50</v>
      </c>
      <c r="C8" s="85" t="s">
        <v>51</v>
      </c>
      <c r="D8" s="85" t="s">
        <v>69</v>
      </c>
      <c r="E8" s="85" t="s">
        <v>86</v>
      </c>
    </row>
    <row r="9" spans="1:5" x14ac:dyDescent="0.25">
      <c r="B9" s="80" t="s">
        <v>60</v>
      </c>
      <c r="C9" s="80" t="s">
        <v>15</v>
      </c>
      <c r="D9" s="80">
        <v>0.23243594693731279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1.8934820904050513E-2</v>
      </c>
      <c r="E10" s="78">
        <v>0</v>
      </c>
    </row>
    <row r="12" spans="1:5" ht="15.75" thickBot="1" x14ac:dyDescent="0.3">
      <c r="A12" t="s">
        <v>56</v>
      </c>
    </row>
    <row r="13" spans="1:5" x14ac:dyDescent="0.25">
      <c r="B13" s="84"/>
      <c r="C13" s="84"/>
      <c r="D13" s="84" t="s">
        <v>84</v>
      </c>
      <c r="E13" s="84" t="s">
        <v>87</v>
      </c>
    </row>
    <row r="14" spans="1:5" ht="15.75" thickBot="1" x14ac:dyDescent="0.3">
      <c r="B14" s="85" t="s">
        <v>50</v>
      </c>
      <c r="C14" s="85" t="s">
        <v>51</v>
      </c>
      <c r="D14" s="85" t="s">
        <v>69</v>
      </c>
      <c r="E14" s="85" t="s">
        <v>88</v>
      </c>
    </row>
    <row r="15" spans="1:5" ht="15.75" thickBot="1" x14ac:dyDescent="0.3">
      <c r="B15" s="78" t="s">
        <v>29</v>
      </c>
      <c r="C15" s="78" t="s">
        <v>35</v>
      </c>
      <c r="D15" s="86">
        <v>639999.99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E61E-74CE-4B33-938A-F6B2D29417B6}">
  <dimension ref="A1:J14"/>
  <sheetViews>
    <sheetView showGridLines="0" tabSelected="1" workbookViewId="0">
      <selection activeCell="N26" sqref="N26"/>
    </sheetView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0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7.140625" bestFit="1" customWidth="1"/>
    <col min="10" max="10" width="14.2851562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89</v>
      </c>
    </row>
    <row r="5" spans="1:10" ht="15.75" thickBot="1" x14ac:dyDescent="0.3"/>
    <row r="6" spans="1:10" x14ac:dyDescent="0.25">
      <c r="B6" s="84"/>
      <c r="C6" s="84" t="s">
        <v>71</v>
      </c>
      <c r="D6" s="84"/>
    </row>
    <row r="7" spans="1:10" ht="15.75" thickBot="1" x14ac:dyDescent="0.3">
      <c r="B7" s="85" t="s">
        <v>50</v>
      </c>
      <c r="C7" s="85" t="s">
        <v>51</v>
      </c>
      <c r="D7" s="85" t="s">
        <v>69</v>
      </c>
    </row>
    <row r="8" spans="1:10" ht="15.75" thickBot="1" x14ac:dyDescent="0.3">
      <c r="B8" s="78" t="s">
        <v>29</v>
      </c>
      <c r="C8" s="78" t="s">
        <v>35</v>
      </c>
      <c r="D8" s="81">
        <v>639999.98860000004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.75" thickBot="1" x14ac:dyDescent="0.3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25">
      <c r="B13" s="80" t="s">
        <v>60</v>
      </c>
      <c r="C13" s="80" t="s">
        <v>15</v>
      </c>
      <c r="D13" s="82">
        <v>0.23243594693731279</v>
      </c>
      <c r="F13" s="82">
        <v>0</v>
      </c>
      <c r="G13" s="82">
        <v>519296.76</v>
      </c>
      <c r="I13" s="82">
        <v>25</v>
      </c>
      <c r="J13" s="82">
        <v>13501715.640000001</v>
      </c>
    </row>
    <row r="14" spans="1:10" ht="15.75" thickBot="1" x14ac:dyDescent="0.3">
      <c r="B14" s="78" t="s">
        <v>62</v>
      </c>
      <c r="C14" s="78" t="s">
        <v>16</v>
      </c>
      <c r="D14" s="83">
        <v>1.8934820904050513E-2</v>
      </c>
      <c r="F14" s="83">
        <v>0</v>
      </c>
      <c r="G14" s="83">
        <v>616217.97</v>
      </c>
      <c r="I14" s="83">
        <v>4</v>
      </c>
      <c r="J14" s="83">
        <v>96253247.459999993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G1" sqref="G1"/>
    </sheetView>
  </sheetViews>
  <sheetFormatPr defaultRowHeight="15" x14ac:dyDescent="0.25"/>
  <cols>
    <col min="2" max="2" width="11.5703125" customWidth="1"/>
    <col min="3" max="3" width="14.28515625" bestFit="1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0.23243594693731279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1.8934820904050513E-2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123243.59469373127</v>
      </c>
    </row>
    <row r="10" spans="2:8" x14ac:dyDescent="0.25">
      <c r="B10" s="4">
        <v>1</v>
      </c>
      <c r="C10" s="2">
        <f>(base*(1+raise)^B10)*(1+bonus)</f>
        <v>125577.19008682847</v>
      </c>
    </row>
    <row r="11" spans="2:8" x14ac:dyDescent="0.25">
      <c r="B11" s="4">
        <v>2</v>
      </c>
      <c r="C11" s="2">
        <f>(base*(1+raise)^B11)*(1+bonus)</f>
        <v>127954.97169075647</v>
      </c>
    </row>
    <row r="12" spans="2:8" x14ac:dyDescent="0.25">
      <c r="B12" s="4">
        <v>3</v>
      </c>
      <c r="C12" s="2">
        <f>(base*(1+raise)^B12)*(1+bonus)</f>
        <v>130377.7761635038</v>
      </c>
    </row>
    <row r="13" spans="2:8" ht="15.75" thickBot="1" x14ac:dyDescent="0.3">
      <c r="B13" s="36">
        <v>4</v>
      </c>
      <c r="C13" s="37">
        <f>(base*(1+raise)^B13)*(1+bonus)</f>
        <v>132846.45600502816</v>
      </c>
    </row>
    <row r="14" spans="2:8" ht="16.5" thickTop="1" thickBot="1" x14ac:dyDescent="0.3">
      <c r="B14" s="34" t="s">
        <v>3</v>
      </c>
      <c r="C14" s="35">
        <f>SUM(C9:C13)</f>
        <v>639999.98863984819</v>
      </c>
    </row>
  </sheetData>
  <scenarios current="0" sqref="C9:C14">
    <scenario name="job 1" locked="1" count="3" user="Alexandr Sarve" comment="Created by Alexandr Sarve on 9/7/2026_x000a_Modified by Alexandr Sarve on 9/7/2026">
      <inputCells r="C3" val="100000" numFmtId="164"/>
      <inputCells r="C4" val="0.1" numFmtId="9"/>
      <inputCells r="C5" val="0.015" numFmtId="165"/>
    </scenario>
    <scenario name="job 2" locked="1" count="3" user="Alexandr Sarve" comment="Created by Alexandr Sarve on 9/7/2026_x000a_Modified by Alexandr Sarve on 9/7/2026">
      <inputCells r="C3" val="80000" numFmtId="164"/>
      <inputCells r="C4" val="0.15" numFmtId="9"/>
      <inputCells r="C5" val="0.012" numFmtId="165"/>
    </scenario>
    <scenario name="job 3" locked="1" count="3" user="Alexandr Sarve" comment="Created by Alexandr Sarve on 9/7/2026">
      <inputCells r="C3" val="120000" numFmtId="164"/>
      <inputCells r="C4" val="0.08" numFmtId="9"/>
      <inputCells r="C5" val="0.005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Alexandr Sarve</cp:lastModifiedBy>
  <dcterms:created xsi:type="dcterms:W3CDTF">2024-08-08T18:34:47Z</dcterms:created>
  <dcterms:modified xsi:type="dcterms:W3CDTF">2026-09-08T02:22:53Z</dcterms:modified>
</cp:coreProperties>
</file>